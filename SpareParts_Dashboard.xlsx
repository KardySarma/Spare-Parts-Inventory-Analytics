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eaned Data" sheetId="2" state="visible" r:id="rId4"/>
    <sheet name="Analy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<sst xmlns="http://schemas.openxmlformats.org/spreadsheetml/2006/main" count="377" uniqueCount="165">
  <si>
    <t xml:space="preserve">SPARE PARTS INVENTORY — ANALYTICS DASHBOARD</t>
  </si>
  <si>
    <t xml:space="preserve">Factory Spare Parts Management  |  PySpark ETL Pipeline  |  A. Karthikeya</t>
  </si>
  <si>
    <t xml:space="preserve">Total Inventory Value</t>
  </si>
  <si>
    <t xml:space="preserve">Total Part Variants</t>
  </si>
  <si>
    <t xml:space="preserve">High Risk Items</t>
  </si>
  <si>
    <t xml:space="preserve">Low Stock Alerts</t>
  </si>
  <si>
    <t xml:space="preserve">₹ 1,630,860</t>
  </si>
  <si>
    <t xml:space="preserve">35</t>
  </si>
  <si>
    <t xml:space="preserve">7</t>
  </si>
  <si>
    <t xml:space="preserve">9</t>
  </si>
  <si>
    <t xml:space="preserve">⚠  TOP 5 HIGH-RISK PARTS  (High Value · Low Stock)</t>
  </si>
  <si>
    <t xml:space="preserve">Part Name</t>
  </si>
  <si>
    <t xml:space="preserve">Category</t>
  </si>
  <si>
    <t xml:space="preserve">Unit Price (₹)</t>
  </si>
  <si>
    <t xml:space="preserve">Qty</t>
  </si>
  <si>
    <t xml:space="preserve">Risk Score</t>
  </si>
  <si>
    <t xml:space="preserve">Warehouse Area</t>
  </si>
  <si>
    <t xml:space="preserve">Servo Motor</t>
  </si>
  <si>
    <t xml:space="preserve">Drives</t>
  </si>
  <si>
    <t xml:space="preserve">Area B</t>
  </si>
  <si>
    <t xml:space="preserve">Servo Drive</t>
  </si>
  <si>
    <t xml:space="preserve">PLC CPU Module</t>
  </si>
  <si>
    <t xml:space="preserve">Automation</t>
  </si>
  <si>
    <t xml:space="preserve">Area A</t>
  </si>
  <si>
    <t xml:space="preserve">S.No</t>
  </si>
  <si>
    <t xml:space="preserve">Material ID</t>
  </si>
  <si>
    <t xml:space="preserve">Specification</t>
  </si>
  <si>
    <t xml:space="preserve">Brand Name</t>
  </si>
  <si>
    <t xml:space="preserve">Currency</t>
  </si>
  <si>
    <t xml:space="preserve">Location</t>
  </si>
  <si>
    <t xml:space="preserve">Quantity</t>
  </si>
  <si>
    <t xml:space="preserve">Total Stock Value (₹)</t>
  </si>
  <si>
    <t xml:space="preserve">Part Category</t>
  </si>
  <si>
    <t xml:space="preserve">MAT-001</t>
  </si>
  <si>
    <t xml:space="preserve">Proximity Sensor NPN</t>
  </si>
  <si>
    <t xml:space="preserve">12mm M12 NPN NO</t>
  </si>
  <si>
    <t xml:space="preserve">Omron</t>
  </si>
  <si>
    <t xml:space="preserve">INR</t>
  </si>
  <si>
    <t xml:space="preserve">Area A - Row 1</t>
  </si>
  <si>
    <t xml:space="preserve">Sensors</t>
  </si>
  <si>
    <t xml:space="preserve">MAT-002</t>
  </si>
  <si>
    <t xml:space="preserve">Photoelectric Sensor</t>
  </si>
  <si>
    <t xml:space="preserve">Diffuse 300mm range</t>
  </si>
  <si>
    <t xml:space="preserve">Keyence</t>
  </si>
  <si>
    <t xml:space="preserve">MAT-003</t>
  </si>
  <si>
    <t xml:space="preserve">CP1H-X40DR-A</t>
  </si>
  <si>
    <t xml:space="preserve">Area A - Row 2</t>
  </si>
  <si>
    <t xml:space="preserve">MAT-004</t>
  </si>
  <si>
    <t xml:space="preserve">PLC IO Module</t>
  </si>
  <si>
    <t xml:space="preserve">16 DI 16 DO</t>
  </si>
  <si>
    <t xml:space="preserve">Siemens</t>
  </si>
  <si>
    <t xml:space="preserve">MAT-005</t>
  </si>
  <si>
    <t xml:space="preserve">HMI Touch Panel</t>
  </si>
  <si>
    <t xml:space="preserve">7 inch TFT 800x480</t>
  </si>
  <si>
    <t xml:space="preserve">Area A - Row 3</t>
  </si>
  <si>
    <t xml:space="preserve">MAT-006</t>
  </si>
  <si>
    <t xml:space="preserve">Motor 3 Phase</t>
  </si>
  <si>
    <t xml:space="preserve">1.5 kW 4 Pole IE3</t>
  </si>
  <si>
    <t xml:space="preserve">ABB</t>
  </si>
  <si>
    <t xml:space="preserve">Area B - Row 1</t>
  </si>
  <si>
    <t xml:space="preserve">MAT-007</t>
  </si>
  <si>
    <t xml:space="preserve">VFD Drive</t>
  </si>
  <si>
    <t xml:space="preserve">2.2 kW 3 Phase 415V</t>
  </si>
  <si>
    <t xml:space="preserve">Yaskawa</t>
  </si>
  <si>
    <t xml:space="preserve">MAT-008</t>
  </si>
  <si>
    <t xml:space="preserve">400W 3000 RPM</t>
  </si>
  <si>
    <t xml:space="preserve">Area B - Row 2</t>
  </si>
  <si>
    <t xml:space="preserve">MAT-009</t>
  </si>
  <si>
    <t xml:space="preserve">Bearing Deep Groove</t>
  </si>
  <si>
    <t xml:space="preserve">6205 2RS 25x52x15</t>
  </si>
  <si>
    <t xml:space="preserve">SKF</t>
  </si>
  <si>
    <t xml:space="preserve">Area C - Row 1</t>
  </si>
  <si>
    <t xml:space="preserve">Area C</t>
  </si>
  <si>
    <t xml:space="preserve">Mechanical</t>
  </si>
  <si>
    <t xml:space="preserve">MAT-010</t>
  </si>
  <si>
    <t xml:space="preserve">Bearing Taper Roller</t>
  </si>
  <si>
    <t xml:space="preserve">32205 25x52x19.25</t>
  </si>
  <si>
    <t xml:space="preserve">MAT-011</t>
  </si>
  <si>
    <t xml:space="preserve">V Belt</t>
  </si>
  <si>
    <t xml:space="preserve">B-Section B40</t>
  </si>
  <si>
    <t xml:space="preserve">Gates</t>
  </si>
  <si>
    <t xml:space="preserve">Area C - Row 2</t>
  </si>
  <si>
    <t xml:space="preserve">MAT-012</t>
  </si>
  <si>
    <t xml:space="preserve">Timing Belt</t>
  </si>
  <si>
    <t xml:space="preserve">HTD 5M 750mm</t>
  </si>
  <si>
    <t xml:space="preserve">MAT-013</t>
  </si>
  <si>
    <t xml:space="preserve">Power Cable 4C</t>
  </si>
  <si>
    <t xml:space="preserve">4Cx4 sqmm XLPE Armoured</t>
  </si>
  <si>
    <t xml:space="preserve">Polycab</t>
  </si>
  <si>
    <t xml:space="preserve">Area C - Row 3</t>
  </si>
  <si>
    <t xml:space="preserve">Electrical</t>
  </si>
  <si>
    <t xml:space="preserve">MAT-014</t>
  </si>
  <si>
    <t xml:space="preserve">Control Cable</t>
  </si>
  <si>
    <t xml:space="preserve">10Cx1.5 sqmm Shielded</t>
  </si>
  <si>
    <t xml:space="preserve">MAT-015</t>
  </si>
  <si>
    <t xml:space="preserve">SGDV-2R8A01A 200W</t>
  </si>
  <si>
    <t xml:space="preserve">MAT-016</t>
  </si>
  <si>
    <t xml:space="preserve">PLC Power Supply</t>
  </si>
  <si>
    <t xml:space="preserve">24VDC 5A DIN Rail</t>
  </si>
  <si>
    <t xml:space="preserve">Phoenix</t>
  </si>
  <si>
    <t xml:space="preserve">MAT-017</t>
  </si>
  <si>
    <t xml:space="preserve">Hydraulic Oil</t>
  </si>
  <si>
    <t xml:space="preserve">ISO VG 46 20L</t>
  </si>
  <si>
    <t xml:space="preserve">Mobil</t>
  </si>
  <si>
    <t xml:space="preserve">Area D - Row 1</t>
  </si>
  <si>
    <t xml:space="preserve">Area D</t>
  </si>
  <si>
    <t xml:space="preserve">Consumables</t>
  </si>
  <si>
    <t xml:space="preserve">MAT-018</t>
  </si>
  <si>
    <t xml:space="preserve">Coolant Concentrate</t>
  </si>
  <si>
    <t xml:space="preserve">Semi-Synthetic 10%</t>
  </si>
  <si>
    <t xml:space="preserve">Blaser</t>
  </si>
  <si>
    <t xml:space="preserve">MAT-019</t>
  </si>
  <si>
    <t xml:space="preserve">Proximity Sensor PNP</t>
  </si>
  <si>
    <t xml:space="preserve">18mm M18 PNP NC</t>
  </si>
  <si>
    <t xml:space="preserve">MAT-020</t>
  </si>
  <si>
    <t xml:space="preserve">Encoder Incremental</t>
  </si>
  <si>
    <t xml:space="preserve">1000 PPR 24V Push Pull</t>
  </si>
  <si>
    <t xml:space="preserve">MAT-021</t>
  </si>
  <si>
    <t xml:space="preserve">Circuit Breaker</t>
  </si>
  <si>
    <t xml:space="preserve">3P 32A 10kA</t>
  </si>
  <si>
    <t xml:space="preserve">Others</t>
  </si>
  <si>
    <t xml:space="preserve">MAT-022</t>
  </si>
  <si>
    <t xml:space="preserve">0.75 kW 4 Pole IE2</t>
  </si>
  <si>
    <t xml:space="preserve">MAT-023</t>
  </si>
  <si>
    <t xml:space="preserve">0.75 kW 1 Phase 230V</t>
  </si>
  <si>
    <t xml:space="preserve">Schneider</t>
  </si>
  <si>
    <t xml:space="preserve">MAT-024</t>
  </si>
  <si>
    <t xml:space="preserve">Bearing Cylindrical</t>
  </si>
  <si>
    <t xml:space="preserve">NU 205 ECP 25x52x15</t>
  </si>
  <si>
    <t xml:space="preserve">MAT-025</t>
  </si>
  <si>
    <t xml:space="preserve">IO Module Digital</t>
  </si>
  <si>
    <t xml:space="preserve">8 Channel 24VDC Sink</t>
  </si>
  <si>
    <t xml:space="preserve">MAT-026</t>
  </si>
  <si>
    <t xml:space="preserve">Relay 24VDC</t>
  </si>
  <si>
    <t xml:space="preserve">SPDT 10A DIN Rail</t>
  </si>
  <si>
    <t xml:space="preserve">MAT-027</t>
  </si>
  <si>
    <t xml:space="preserve">750W 3000 RPM Keyway</t>
  </si>
  <si>
    <t xml:space="preserve">MAT-028</t>
  </si>
  <si>
    <t xml:space="preserve">Coolant Pump</t>
  </si>
  <si>
    <t xml:space="preserve">0.18 kW 230V 50L/min</t>
  </si>
  <si>
    <t xml:space="preserve">MAT-029</t>
  </si>
  <si>
    <t xml:space="preserve">Ethernet Switch</t>
  </si>
  <si>
    <t xml:space="preserve">8 Port Industrial 24VDC</t>
  </si>
  <si>
    <t xml:space="preserve">MAT-030</t>
  </si>
  <si>
    <t xml:space="preserve">Cable Drag Chain</t>
  </si>
  <si>
    <t xml:space="preserve">35x75mm Open Type 1m</t>
  </si>
  <si>
    <t xml:space="preserve">MAT-031</t>
  </si>
  <si>
    <t xml:space="preserve">Solenoid Valve</t>
  </si>
  <si>
    <t xml:space="preserve">5/2 Way 24VDC G1/4</t>
  </si>
  <si>
    <t xml:space="preserve">Festo</t>
  </si>
  <si>
    <t xml:space="preserve">Area D - Row 2</t>
  </si>
  <si>
    <t xml:space="preserve">MAT-032</t>
  </si>
  <si>
    <t xml:space="preserve">Air Filter Regulator</t>
  </si>
  <si>
    <t xml:space="preserve">G1/4 5um 0.5-8 Bar</t>
  </si>
  <si>
    <t xml:space="preserve">MAT-033</t>
  </si>
  <si>
    <t xml:space="preserve">S7-1200 CPU1212C DC/DC</t>
  </si>
  <si>
    <t xml:space="preserve">MAT-034</t>
  </si>
  <si>
    <t xml:space="preserve">Grease Cartridge</t>
  </si>
  <si>
    <t xml:space="preserve">Lithium Complex NLGI 2</t>
  </si>
  <si>
    <t xml:space="preserve">MAT-035</t>
  </si>
  <si>
    <t xml:space="preserve">ACS580 0.75kW</t>
  </si>
  <si>
    <t xml:space="preserve">Total Qty</t>
  </si>
  <si>
    <t xml:space="preserve">Total Value (₹)</t>
  </si>
  <si>
    <t xml:space="preserve">Brand</t>
  </si>
  <si>
    <t xml:space="preserve">Avg Unit Price (₹)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</si>
</sst>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0"/>
    <numFmt numFmtId="168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D6E4F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E5BBA"/>
      <name val="Arial"/>
      <family val="0"/>
      <charset val="1"/>
    </font>
    <font>
      <b val="true"/>
      <sz val="16"/>
      <color rgb="FF1A2F5A"/>
      <name val="Arial"/>
      <family val="0"/>
      <charset val="1"/>
    </font>
    <font>
      <b val="true"/>
      <sz val="16"/>
      <color rgb="FFE8611A"/>
      <name val="Arial"/>
      <family val="0"/>
      <charset val="1"/>
    </font>
    <font>
      <b val="true"/>
      <sz val="16"/>
      <color rgb="FF8B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2F5A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2E5BBA"/>
        <bgColor rgb="FF4672A8"/>
      </patternFill>
    </fill>
    <fill>
      <patternFill patternType="solid">
        <fgColor rgb="FFE8611A"/>
        <bgColor rgb="FFDC853E"/>
      </patternFill>
    </fill>
    <fill>
      <patternFill patternType="solid">
        <fgColor rgb="FF8B0000"/>
        <bgColor rgb="FF800000"/>
      </patternFill>
    </fill>
    <fill>
      <patternFill patternType="solid">
        <fgColor rgb="FFFFFFFF"/>
        <bgColor rgb="FFF5F7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/>
      <top style="thin">
        <color rgb="FFD0D7E3"/>
      </top>
      <bottom/>
      <diagonal/>
    </border>
    <border diagonalUp="false" diagonalDown="false">
      <left style="thin">
        <color rgb="FFD0D7E3"/>
      </left>
      <right/>
      <top style="thin">
        <color rgb="FFD0D7E3"/>
      </top>
      <bottom style="thin">
        <color rgb="FFD0D7E3"/>
      </bottom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217346"/>
      <rgbColor rgb="FFD9D9D9"/>
      <rgbColor rgb="FF878787"/>
      <rgbColor rgb="FF93A9CE"/>
      <rgbColor rgb="FFAB4744"/>
      <rgbColor rgb="FFF5F7FA"/>
      <rgbColor rgb="FFD6E4F7"/>
      <rgbColor rgb="FF660066"/>
      <rgbColor rgb="FFDC853E"/>
      <rgbColor rgb="FF4672A8"/>
      <rgbColor rgb="FFD0D7E3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BBA"/>
      <rgbColor rgb="FF33CCCC"/>
      <rgbColor rgb="FF99CC00"/>
      <rgbColor rgb="FFFFCC00"/>
      <rgbColor rgb="FFFF9900"/>
      <rgbColor rgb="FFE8611A"/>
      <rgbColor rgb="FF725990"/>
      <rgbColor rgb="FF8AA64F"/>
      <rgbColor rgb="FF1A2F5A"/>
      <rgbColor rgb="FF4299B0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Parts by Total Stock Value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Analytics!B12</c:f>
              <c:strCache>
                <c:ptCount val="1"/>
                <c:pt idx="0">
                  <c:v>Total Stock Value (₹)</c:v>
                </c:pt>
              </c:strCache>
            </c:strRef>
          </c:tx>
          <c:spPr>
            <a:solidFill>
              <a:srgbClr val="2e5bb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Analytics!$A$13:$A$22</c:f>
              <c:strCache>
                <c:ptCount val="10"/>
                <c:pt idx="0">
                  <c:v>PLC CPU Module</c:v>
                </c:pt>
                <c:pt idx="1">
                  <c:v>VFD Drive</c:v>
                </c:pt>
                <c:pt idx="2">
                  <c:v>Motor 3 Phase</c:v>
                </c:pt>
                <c:pt idx="3">
                  <c:v>Servo Motor</c:v>
                </c:pt>
                <c:pt idx="4">
                  <c:v>PLC CPU Module</c:v>
                </c:pt>
                <c:pt idx="5">
                  <c:v>Servo Drive</c:v>
                </c:pt>
                <c:pt idx="6">
                  <c:v>Servo Drive</c:v>
                </c:pt>
                <c:pt idx="7">
                  <c:v>PLC IO Module</c:v>
                </c:pt>
                <c:pt idx="8">
                  <c:v>Photoelectric Sensor</c:v>
                </c:pt>
                <c:pt idx="9">
                  <c:v>VFD Drive</c:v>
                </c:pt>
              </c:strCache>
            </c:strRef>
          </c:cat>
          <c:val>
            <c:numRef>
              <c:f>Analytics!$B$13:$B$22</c:f>
              <c:numCache>
                <c:formatCode>#,##0</c:formatCode>
                <c:ptCount val="10"/>
                <c:pt idx="0">
                  <c:v>128000</c:v>
                </c:pt>
                <c:pt idx="1">
                  <c:v>110000</c:v>
                </c:pt>
                <c:pt idx="2">
                  <c:v>98000</c:v>
                </c:pt>
                <c:pt idx="3">
                  <c:v>90000</c:v>
                </c:pt>
                <c:pt idx="4">
                  <c:v>84000</c:v>
                </c:pt>
                <c:pt idx="5">
                  <c:v>82000</c:v>
                </c:pt>
                <c:pt idx="6">
                  <c:v>76000</c:v>
                </c:pt>
                <c:pt idx="7">
                  <c:v>75000</c:v>
                </c:pt>
                <c:pt idx="8">
                  <c:v>68000</c:v>
                </c:pt>
                <c:pt idx="9">
                  <c:v>58000</c:v>
                </c:pt>
              </c:numCache>
            </c:numRef>
          </c:val>
        </c:ser>
        <c:gapWidth val="150"/>
        <c:overlap val="0"/>
        <c:axId val="97300704"/>
        <c:axId val="30023112"/>
      </c:barChart>
      <c:catAx>
        <c:axId val="9730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23112"/>
        <c:crosses val="autoZero"/>
        <c:auto val="1"/>
        <c:lblAlgn val="ctr"/>
        <c:lblOffset val="100"/>
        <c:noMultiLvlLbl val="0"/>
      </c:catAx>
      <c:valAx>
        <c:axId val="30023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00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Value by Warehouse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Analytics!F1</c:f>
              <c:strCache>
                <c:ptCount val="1"/>
                <c:pt idx="0">
                  <c:v>Total Value (₹)</c:v>
                </c:pt>
              </c:strCache>
            </c:strRef>
          </c:tx>
          <c:spPr>
            <a:solidFill>
              <a:srgbClr val="e861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Analytics!$E$2:$E$5</c:f>
              <c:strCache>
                <c:ptCount val="4"/>
                <c:pt idx="0">
                  <c:v>Area A</c:v>
                </c:pt>
                <c:pt idx="1">
                  <c:v>Area B</c:v>
                </c:pt>
                <c:pt idx="2">
                  <c:v>Area C</c:v>
                </c:pt>
                <c:pt idx="3">
                  <c:v>Area D</c:v>
                </c:pt>
              </c:strCache>
            </c:strRef>
          </c:cat>
          <c:val>
            <c:numRef>
              <c:f>Analytics!$F$2:$F$5</c:f>
              <c:numCache>
                <c:formatCode>#,##0</c:formatCode>
                <c:ptCount val="4"/>
                <c:pt idx="0">
                  <c:v>653000</c:v>
                </c:pt>
                <c:pt idx="1">
                  <c:v>615600</c:v>
                </c:pt>
                <c:pt idx="2">
                  <c:v>195060</c:v>
                </c:pt>
                <c:pt idx="3">
                  <c:v>167200</c:v>
                </c:pt>
              </c:numCache>
            </c:numRef>
          </c:val>
        </c:ser>
        <c:gapWidth val="150"/>
        <c:overlap val="0"/>
        <c:axId val="13928086"/>
        <c:axId val="48650040"/>
      </c:barChart>
      <c:catAx>
        <c:axId val="13928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50040"/>
        <c:crosses val="autoZero"/>
        <c:auto val="1"/>
        <c:lblAlgn val="ctr"/>
        <c:lblOffset val="100"/>
        <c:noMultiLvlLbl val="0"/>
      </c:catAx>
      <c:valAx>
        <c:axId val="48650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280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Parts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Analytics!B1</c:f>
              <c:strCache>
                <c:ptCount val="1"/>
                <c:pt idx="0">
                  <c:v>Total Qty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Analytics!$A$2:$A$8</c:f>
              <c:strCache>
                <c:ptCount val="7"/>
                <c:pt idx="0">
                  <c:v>Automation</c:v>
                </c:pt>
                <c:pt idx="1">
                  <c:v>Consumables</c:v>
                </c:pt>
                <c:pt idx="2">
                  <c:v>Drives</c:v>
                </c:pt>
                <c:pt idx="3">
                  <c:v>Electrical</c:v>
                </c:pt>
                <c:pt idx="4">
                  <c:v>Mechanical</c:v>
                </c:pt>
                <c:pt idx="5">
                  <c:v>Others</c:v>
                </c:pt>
                <c:pt idx="6">
                  <c:v>Sensors</c:v>
                </c:pt>
              </c:strCache>
            </c:strRef>
          </c:cat>
          <c:val>
            <c:numRef>
              <c:f>Analytics!$B$2:$B$8</c:f>
              <c:numCache>
                <c:formatCode>General</c:formatCode>
                <c:ptCount val="7"/>
                <c:pt idx="0">
                  <c:v>79</c:v>
                </c:pt>
                <c:pt idx="1">
                  <c:v>53</c:v>
                </c:pt>
                <c:pt idx="2">
                  <c:v>34</c:v>
                </c:pt>
                <c:pt idx="3">
                  <c:v>410</c:v>
                </c:pt>
                <c:pt idx="4">
                  <c:v>133</c:v>
                </c:pt>
                <c:pt idx="5">
                  <c:v>23</c:v>
                </c:pt>
                <c:pt idx="6">
                  <c:v>35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Unit Price by Brand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Analytics!B25</c:f>
              <c:strCache>
                <c:ptCount val="1"/>
                <c:pt idx="0">
                  <c:v>Avg Unit Price (₹)</c:v>
                </c:pt>
              </c:strCache>
            </c:strRef>
          </c:tx>
          <c:spPr>
            <a:solidFill>
              <a:srgbClr val="2173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Analytics!$A$26:$A$38</c:f>
              <c:strCache>
                <c:ptCount val="13"/>
                <c:pt idx="0">
                  <c:v>Yaskawa</c:v>
                </c:pt>
                <c:pt idx="1">
                  <c:v>ABB</c:v>
                </c:pt>
                <c:pt idx="2">
                  <c:v>Siemens</c:v>
                </c:pt>
                <c:pt idx="3">
                  <c:v>Schneider</c:v>
                </c:pt>
                <c:pt idx="4">
                  <c:v>Keyence</c:v>
                </c:pt>
                <c:pt idx="5">
                  <c:v>Omron</c:v>
                </c:pt>
                <c:pt idx="6">
                  <c:v>Blaser</c:v>
                </c:pt>
                <c:pt idx="7">
                  <c:v>Phoenix</c:v>
                </c:pt>
                <c:pt idx="8">
                  <c:v>Mobil</c:v>
                </c:pt>
                <c:pt idx="9">
                  <c:v>Festo</c:v>
                </c:pt>
                <c:pt idx="10">
                  <c:v>SKF</c:v>
                </c:pt>
                <c:pt idx="11">
                  <c:v>Gates</c:v>
                </c:pt>
                <c:pt idx="12">
                  <c:v>Polycab</c:v>
                </c:pt>
              </c:strCache>
            </c:strRef>
          </c:cat>
          <c:val>
            <c:numRef>
              <c:f>Analytics!$B$26:$B$38</c:f>
              <c:numCache>
                <c:formatCode>#,##0</c:formatCode>
                <c:ptCount val="13"/>
                <c:pt idx="0">
                  <c:v>35000</c:v>
                </c:pt>
                <c:pt idx="1">
                  <c:v>27250</c:v>
                </c:pt>
                <c:pt idx="2">
                  <c:v>15325</c:v>
                </c:pt>
                <c:pt idx="3">
                  <c:v>14500</c:v>
                </c:pt>
                <c:pt idx="4">
                  <c:v>8500</c:v>
                </c:pt>
                <c:pt idx="5">
                  <c:v>8454</c:v>
                </c:pt>
                <c:pt idx="6">
                  <c:v>6850</c:v>
                </c:pt>
                <c:pt idx="7">
                  <c:v>6567</c:v>
                </c:pt>
                <c:pt idx="8">
                  <c:v>2045</c:v>
                </c:pt>
                <c:pt idx="9">
                  <c:v>1875</c:v>
                </c:pt>
                <c:pt idx="10">
                  <c:v>1117</c:v>
                </c:pt>
                <c:pt idx="11">
                  <c:v>450</c:v>
                </c:pt>
                <c:pt idx="12">
                  <c:v>318</c:v>
                </c:pt>
              </c:numCache>
            </c:numRef>
          </c:val>
        </c:ser>
        <c:gapWidth val="150"/>
        <c:overlap val="0"/>
        <c:axId val="6344557"/>
        <c:axId val="86714232"/>
      </c:barChart>
      <c:catAx>
        <c:axId val="63445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14232"/>
        <c:crosses val="autoZero"/>
        <c:auto val="1"/>
        <c:lblAlgn val="ctr"/>
        <c:lblOffset val="100"/>
        <c:noMultiLvlLbl val="0"/>
      </c:catAx>
      <c:valAx>
        <c:axId val="86714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45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7</xdr:col>
      <xdr:colOff>684720</xdr:colOff>
      <xdr:row>25</xdr:row>
      <xdr:rowOff>170640</xdr:rowOff>
    </xdr:to>
    <xdr:graphicFrame>
      <xdr:nvGraphicFramePr>
        <xdr:cNvPr id="0" name="Chart 1"/>
        <xdr:cNvGraphicFramePr/>
      </xdr:nvGraphicFramePr>
      <xdr:xfrm>
        <a:off x="211320" y="22860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90720</xdr:colOff>
      <xdr:row>25</xdr:row>
      <xdr:rowOff>170640</xdr:rowOff>
    </xdr:to>
    <xdr:graphicFrame>
      <xdr:nvGraphicFramePr>
        <xdr:cNvPr id="1" name="Chart 2"/>
        <xdr:cNvGraphicFramePr/>
      </xdr:nvGraphicFramePr>
      <xdr:xfrm>
        <a:off x="7823880" y="228600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6</xdr:col>
      <xdr:colOff>90360</xdr:colOff>
      <xdr:row>46</xdr:row>
      <xdr:rowOff>170640</xdr:rowOff>
    </xdr:to>
    <xdr:graphicFrame>
      <xdr:nvGraphicFramePr>
        <xdr:cNvPr id="2" name="Chart 3"/>
        <xdr:cNvGraphicFramePr/>
      </xdr:nvGraphicFramePr>
      <xdr:xfrm>
        <a:off x="211320" y="708660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31</xdr:row>
      <xdr:rowOff>0</xdr:rowOff>
    </xdr:from>
    <xdr:to>
      <xdr:col>16</xdr:col>
      <xdr:colOff>684720</xdr:colOff>
      <xdr:row>46</xdr:row>
      <xdr:rowOff>170640</xdr:rowOff>
    </xdr:to>
    <xdr:graphicFrame>
      <xdr:nvGraphicFramePr>
        <xdr:cNvPr id="3" name="Chart 4"/>
        <xdr:cNvGraphicFramePr/>
      </xdr:nvGraphicFramePr>
      <xdr:xfrm>
        <a:off x="7823880" y="70866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F5A"/>
    <pageSetUpPr fitToPage="false"/>
  </sheetPr>
  <dimension ref="A1:S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8" min="2" style="0" width="12"/>
    <col collapsed="false" customWidth="true" hidden="false" outlineLevel="0" max="19" min="19" style="0" width="3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8" hidden="false" customHeight="true" outlineLevel="0" collapsed="false">
      <c r="A6" s="4"/>
      <c r="B6" s="5" t="s">
        <v>2</v>
      </c>
      <c r="C6" s="5"/>
      <c r="D6" s="5"/>
      <c r="E6" s="5"/>
      <c r="F6" s="6" t="s">
        <v>3</v>
      </c>
      <c r="G6" s="6"/>
      <c r="H6" s="6"/>
      <c r="I6" s="6"/>
      <c r="J6" s="7" t="s">
        <v>4</v>
      </c>
      <c r="K6" s="7"/>
      <c r="L6" s="7"/>
      <c r="M6" s="7"/>
      <c r="N6" s="8" t="s">
        <v>5</v>
      </c>
      <c r="O6" s="8"/>
      <c r="P6" s="8"/>
      <c r="Q6" s="8"/>
      <c r="R6" s="4"/>
      <c r="S6" s="4"/>
    </row>
    <row r="7" customFormat="false" ht="18" hidden="false" customHeight="true" outlineLevel="0" collapsed="false">
      <c r="A7" s="4"/>
      <c r="B7" s="5"/>
      <c r="C7" s="5"/>
      <c r="D7" s="5"/>
      <c r="E7" s="5"/>
      <c r="F7" s="6"/>
      <c r="G7" s="6"/>
      <c r="H7" s="6"/>
      <c r="I7" s="6"/>
      <c r="J7" s="7"/>
      <c r="K7" s="7"/>
      <c r="L7" s="7"/>
      <c r="M7" s="7"/>
      <c r="N7" s="8"/>
      <c r="O7" s="8"/>
      <c r="P7" s="8"/>
      <c r="Q7" s="8"/>
      <c r="R7" s="4"/>
      <c r="S7" s="4"/>
    </row>
    <row r="8" customFormat="false" ht="18" hidden="false" customHeight="true" outlineLevel="0" collapsed="false">
      <c r="A8" s="4"/>
      <c r="B8" s="9" t="s">
        <v>6</v>
      </c>
      <c r="C8" s="9"/>
      <c r="D8" s="9"/>
      <c r="E8" s="9"/>
      <c r="F8" s="10" t="s">
        <v>7</v>
      </c>
      <c r="G8" s="10"/>
      <c r="H8" s="10"/>
      <c r="I8" s="10"/>
      <c r="J8" s="11" t="s">
        <v>8</v>
      </c>
      <c r="K8" s="11"/>
      <c r="L8" s="11"/>
      <c r="M8" s="11"/>
      <c r="N8" s="12" t="s">
        <v>9</v>
      </c>
      <c r="O8" s="12"/>
      <c r="P8" s="12"/>
      <c r="Q8" s="12"/>
      <c r="R8" s="4"/>
      <c r="S8" s="4"/>
    </row>
    <row r="9" customFormat="false" ht="18" hidden="false" customHeight="true" outlineLevel="0" collapsed="false">
      <c r="A9" s="4"/>
      <c r="B9" s="9"/>
      <c r="C9" s="9"/>
      <c r="D9" s="9"/>
      <c r="E9" s="9"/>
      <c r="F9" s="10"/>
      <c r="G9" s="10"/>
      <c r="H9" s="10"/>
      <c r="I9" s="10"/>
      <c r="J9" s="11"/>
      <c r="K9" s="11"/>
      <c r="L9" s="11"/>
      <c r="M9" s="11"/>
      <c r="N9" s="12"/>
      <c r="O9" s="12"/>
      <c r="P9" s="12"/>
      <c r="Q9" s="12"/>
      <c r="R9" s="4"/>
      <c r="S9" s="4"/>
    </row>
    <row r="10" customFormat="false" ht="18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customFormat="false" ht="18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customFormat="false" ht="18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customFormat="false" ht="18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customFormat="false" ht="18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customFormat="false" ht="18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customFormat="false" ht="18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customFormat="false" ht="18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customFormat="false" ht="18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customFormat="false" ht="18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customFormat="false" ht="18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customFormat="false" ht="18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8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customFormat="false" ht="18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customFormat="false" ht="18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customFormat="false" ht="18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customFormat="false" ht="18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customFormat="false" ht="18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customFormat="false" ht="18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customFormat="false" ht="18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customFormat="false" ht="18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customFormat="false" ht="18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8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8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8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Format="false" ht="18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8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Format="false" ht="18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8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8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8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8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8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8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Format="false" ht="18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8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Format="false" ht="18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8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Format="false" ht="18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Format="false" ht="18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8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Format="false" ht="18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8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8" hidden="false" customHeight="true" outlineLevel="0" collapsed="false">
      <c r="A53" s="4"/>
      <c r="B53" s="13" t="s">
        <v>10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4"/>
      <c r="S53" s="4"/>
    </row>
    <row r="54" customFormat="false" ht="18" hidden="false" customHeight="true" outlineLevel="0" collapsed="false">
      <c r="A54" s="4"/>
      <c r="B54" s="14" t="s">
        <v>11</v>
      </c>
      <c r="C54" s="14"/>
      <c r="D54" s="14"/>
      <c r="E54" s="14"/>
      <c r="F54" s="14"/>
      <c r="G54" s="14"/>
      <c r="H54" s="14" t="s">
        <v>12</v>
      </c>
      <c r="I54" s="14"/>
      <c r="J54" s="14" t="s">
        <v>13</v>
      </c>
      <c r="K54" s="14"/>
      <c r="L54" s="14" t="s">
        <v>14</v>
      </c>
      <c r="M54" s="14"/>
      <c r="N54" s="14" t="s">
        <v>15</v>
      </c>
      <c r="O54" s="14"/>
      <c r="P54" s="14" t="s">
        <v>16</v>
      </c>
      <c r="Q54" s="14"/>
      <c r="R54" s="4"/>
      <c r="S54" s="4"/>
    </row>
    <row r="55" customFormat="false" ht="18" hidden="false" customHeight="true" outlineLevel="0" collapsed="false">
      <c r="A55" s="4"/>
      <c r="B55" s="15" t="s">
        <v>17</v>
      </c>
      <c r="C55" s="15"/>
      <c r="D55" s="15"/>
      <c r="E55" s="15"/>
      <c r="F55" s="15"/>
      <c r="G55" s="15"/>
      <c r="H55" s="15" t="s">
        <v>18</v>
      </c>
      <c r="I55" s="15"/>
      <c r="J55" s="16" t="n">
        <v>52000</v>
      </c>
      <c r="K55" s="16"/>
      <c r="L55" s="17" t="n">
        <v>1</v>
      </c>
      <c r="M55" s="17"/>
      <c r="N55" s="18" t="n">
        <v>52000</v>
      </c>
      <c r="O55" s="18"/>
      <c r="P55" s="15" t="s">
        <v>19</v>
      </c>
      <c r="Q55" s="15"/>
      <c r="R55" s="4"/>
      <c r="S55" s="4"/>
    </row>
    <row r="56" customFormat="false" ht="18" hidden="false" customHeight="true" outlineLevel="0" collapsed="false">
      <c r="A56" s="4"/>
      <c r="B56" s="19" t="s">
        <v>17</v>
      </c>
      <c r="C56" s="19"/>
      <c r="D56" s="19"/>
      <c r="E56" s="19"/>
      <c r="F56" s="19"/>
      <c r="G56" s="19"/>
      <c r="H56" s="19" t="s">
        <v>18</v>
      </c>
      <c r="I56" s="19"/>
      <c r="J56" s="20" t="n">
        <v>45000</v>
      </c>
      <c r="K56" s="20"/>
      <c r="L56" s="21" t="n">
        <v>2</v>
      </c>
      <c r="M56" s="21"/>
      <c r="N56" s="22" t="n">
        <v>22500</v>
      </c>
      <c r="O56" s="22"/>
      <c r="P56" s="19" t="s">
        <v>19</v>
      </c>
      <c r="Q56" s="19"/>
      <c r="R56" s="4"/>
      <c r="S56" s="4"/>
    </row>
    <row r="57" customFormat="false" ht="18" hidden="false" customHeight="true" outlineLevel="0" collapsed="false">
      <c r="A57" s="4"/>
      <c r="B57" s="15" t="s">
        <v>20</v>
      </c>
      <c r="C57" s="15"/>
      <c r="D57" s="15"/>
      <c r="E57" s="15"/>
      <c r="F57" s="15"/>
      <c r="G57" s="15"/>
      <c r="H57" s="15" t="s">
        <v>18</v>
      </c>
      <c r="I57" s="15"/>
      <c r="J57" s="16" t="n">
        <v>41000</v>
      </c>
      <c r="K57" s="16"/>
      <c r="L57" s="17" t="n">
        <v>2</v>
      </c>
      <c r="M57" s="17"/>
      <c r="N57" s="18" t="n">
        <v>20500</v>
      </c>
      <c r="O57" s="18"/>
      <c r="P57" s="15" t="s">
        <v>19</v>
      </c>
      <c r="Q57" s="15"/>
      <c r="R57" s="4"/>
      <c r="S57" s="4"/>
    </row>
    <row r="58" customFormat="false" ht="18" hidden="false" customHeight="true" outlineLevel="0" collapsed="false">
      <c r="A58" s="4"/>
      <c r="B58" s="19" t="s">
        <v>20</v>
      </c>
      <c r="C58" s="19"/>
      <c r="D58" s="19"/>
      <c r="E58" s="19"/>
      <c r="F58" s="19"/>
      <c r="G58" s="19"/>
      <c r="H58" s="19" t="s">
        <v>18</v>
      </c>
      <c r="I58" s="19"/>
      <c r="J58" s="20" t="n">
        <v>38000</v>
      </c>
      <c r="K58" s="20"/>
      <c r="L58" s="21" t="n">
        <v>2</v>
      </c>
      <c r="M58" s="21"/>
      <c r="N58" s="22" t="n">
        <v>19000</v>
      </c>
      <c r="O58" s="22"/>
      <c r="P58" s="19" t="s">
        <v>19</v>
      </c>
      <c r="Q58" s="19"/>
      <c r="R58" s="4"/>
      <c r="S58" s="4"/>
    </row>
    <row r="59" customFormat="false" ht="18" hidden="false" customHeight="true" outlineLevel="0" collapsed="false">
      <c r="A59" s="4"/>
      <c r="B59" s="15" t="s">
        <v>21</v>
      </c>
      <c r="C59" s="15"/>
      <c r="D59" s="15"/>
      <c r="E59" s="15"/>
      <c r="F59" s="15"/>
      <c r="G59" s="15"/>
      <c r="H59" s="15" t="s">
        <v>22</v>
      </c>
      <c r="I59" s="15"/>
      <c r="J59" s="16" t="n">
        <v>28000</v>
      </c>
      <c r="K59" s="16"/>
      <c r="L59" s="17" t="n">
        <v>3</v>
      </c>
      <c r="M59" s="17"/>
      <c r="N59" s="18" t="n">
        <v>9333.33</v>
      </c>
      <c r="O59" s="18"/>
      <c r="P59" s="15" t="s">
        <v>23</v>
      </c>
      <c r="Q59" s="15"/>
      <c r="R59" s="4"/>
      <c r="S59" s="4"/>
    </row>
  </sheetData>
  <mergeCells count="47">
    <mergeCell ref="B2:R2"/>
    <mergeCell ref="B3:R3"/>
    <mergeCell ref="B6:E7"/>
    <mergeCell ref="F6:I7"/>
    <mergeCell ref="J6:M7"/>
    <mergeCell ref="N6:Q7"/>
    <mergeCell ref="B8:E9"/>
    <mergeCell ref="F8:I9"/>
    <mergeCell ref="J8:M9"/>
    <mergeCell ref="N8:Q9"/>
    <mergeCell ref="B53:Q53"/>
    <mergeCell ref="B54:G54"/>
    <mergeCell ref="H54:I54"/>
    <mergeCell ref="J54:K54"/>
    <mergeCell ref="L54:M54"/>
    <mergeCell ref="N54:O54"/>
    <mergeCell ref="P54:Q54"/>
    <mergeCell ref="B55:G55"/>
    <mergeCell ref="H55:I55"/>
    <mergeCell ref="J55:K55"/>
    <mergeCell ref="L55:M55"/>
    <mergeCell ref="N55:O55"/>
    <mergeCell ref="P55:Q55"/>
    <mergeCell ref="B56:G56"/>
    <mergeCell ref="H56:I56"/>
    <mergeCell ref="J56:K56"/>
    <mergeCell ref="L56:M56"/>
    <mergeCell ref="N56:O56"/>
    <mergeCell ref="P56:Q56"/>
    <mergeCell ref="B57:G57"/>
    <mergeCell ref="H57:I57"/>
    <mergeCell ref="J57:K57"/>
    <mergeCell ref="L57:M57"/>
    <mergeCell ref="N57:O57"/>
    <mergeCell ref="P57:Q57"/>
    <mergeCell ref="B58:G58"/>
    <mergeCell ref="H58:I58"/>
    <mergeCell ref="J58:K58"/>
    <mergeCell ref="L58:M58"/>
    <mergeCell ref="N58:O58"/>
    <mergeCell ref="P58:Q58"/>
    <mergeCell ref="B59:G59"/>
    <mergeCell ref="H59:I59"/>
    <mergeCell ref="J59:K59"/>
    <mergeCell ref="L59:M59"/>
    <mergeCell ref="N59:O59"/>
    <mergeCell ref="P59:Q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BBA"/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2" min="11" style="0" width="14"/>
    <col collapsed="false" customWidth="true" hidden="false" outlineLevel="0" max="13" min="13" style="0" width="12"/>
  </cols>
  <sheetData>
    <row r="1" customFormat="false" ht="26.85" hidden="false" customHeight="false" outlineLevel="0" collapsed="false">
      <c r="A1" s="23" t="s">
        <v>24</v>
      </c>
      <c r="B1" s="23" t="s">
        <v>25</v>
      </c>
      <c r="C1" s="23" t="s">
        <v>11</v>
      </c>
      <c r="D1" s="23" t="s">
        <v>26</v>
      </c>
      <c r="E1" s="23" t="s">
        <v>27</v>
      </c>
      <c r="F1" s="23" t="s">
        <v>13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16</v>
      </c>
      <c r="L1" s="23" t="s">
        <v>32</v>
      </c>
      <c r="M1" s="23" t="s">
        <v>15</v>
      </c>
    </row>
    <row r="2" customFormat="false" ht="15" hidden="false" customHeight="false" outlineLevel="0" collapsed="false">
      <c r="A2" s="24" t="n">
        <v>1</v>
      </c>
      <c r="B2" s="24" t="s">
        <v>33</v>
      </c>
      <c r="C2" s="24" t="s">
        <v>34</v>
      </c>
      <c r="D2" s="24" t="s">
        <v>35</v>
      </c>
      <c r="E2" s="24" t="s">
        <v>36</v>
      </c>
      <c r="F2" s="25" t="n">
        <v>1200</v>
      </c>
      <c r="G2" s="24" t="s">
        <v>37</v>
      </c>
      <c r="H2" s="24" t="s">
        <v>38</v>
      </c>
      <c r="I2" s="24" t="n">
        <v>15</v>
      </c>
      <c r="J2" s="25" t="n">
        <v>18000</v>
      </c>
      <c r="K2" s="24" t="s">
        <v>23</v>
      </c>
      <c r="L2" s="24" t="s">
        <v>39</v>
      </c>
      <c r="M2" s="26" t="n">
        <v>80</v>
      </c>
    </row>
    <row r="3" customFormat="false" ht="15" hidden="false" customHeight="false" outlineLevel="0" collapsed="false">
      <c r="A3" s="27" t="n">
        <v>2</v>
      </c>
      <c r="B3" s="27" t="s">
        <v>40</v>
      </c>
      <c r="C3" s="27" t="s">
        <v>41</v>
      </c>
      <c r="D3" s="27" t="s">
        <v>42</v>
      </c>
      <c r="E3" s="27" t="s">
        <v>43</v>
      </c>
      <c r="F3" s="28" t="n">
        <v>8500</v>
      </c>
      <c r="G3" s="27" t="s">
        <v>37</v>
      </c>
      <c r="H3" s="27" t="s">
        <v>38</v>
      </c>
      <c r="I3" s="27" t="n">
        <v>8</v>
      </c>
      <c r="J3" s="28" t="n">
        <v>68000</v>
      </c>
      <c r="K3" s="27" t="s">
        <v>23</v>
      </c>
      <c r="L3" s="27" t="s">
        <v>39</v>
      </c>
      <c r="M3" s="29" t="n">
        <v>1062.5</v>
      </c>
    </row>
    <row r="4" customFormat="false" ht="15" hidden="false" customHeight="false" outlineLevel="0" collapsed="false">
      <c r="A4" s="24" t="n">
        <v>3</v>
      </c>
      <c r="B4" s="24" t="s">
        <v>44</v>
      </c>
      <c r="C4" s="24" t="s">
        <v>21</v>
      </c>
      <c r="D4" s="24" t="s">
        <v>45</v>
      </c>
      <c r="E4" s="24" t="s">
        <v>36</v>
      </c>
      <c r="F4" s="25" t="n">
        <v>32000</v>
      </c>
      <c r="G4" s="24" t="s">
        <v>37</v>
      </c>
      <c r="H4" s="24" t="s">
        <v>46</v>
      </c>
      <c r="I4" s="24" t="n">
        <v>4</v>
      </c>
      <c r="J4" s="25" t="n">
        <v>128000</v>
      </c>
      <c r="K4" s="24" t="s">
        <v>23</v>
      </c>
      <c r="L4" s="24" t="s">
        <v>22</v>
      </c>
      <c r="M4" s="26" t="n">
        <v>8000</v>
      </c>
    </row>
    <row r="5" customFormat="false" ht="15" hidden="false" customHeight="false" outlineLevel="0" collapsed="false">
      <c r="A5" s="27" t="n">
        <v>4</v>
      </c>
      <c r="B5" s="27" t="s">
        <v>47</v>
      </c>
      <c r="C5" s="27" t="s">
        <v>48</v>
      </c>
      <c r="D5" s="27" t="s">
        <v>49</v>
      </c>
      <c r="E5" s="27" t="s">
        <v>50</v>
      </c>
      <c r="F5" s="28" t="n">
        <v>12500</v>
      </c>
      <c r="G5" s="27" t="s">
        <v>37</v>
      </c>
      <c r="H5" s="27" t="s">
        <v>46</v>
      </c>
      <c r="I5" s="27" t="n">
        <v>6</v>
      </c>
      <c r="J5" s="28" t="n">
        <v>75000</v>
      </c>
      <c r="K5" s="27" t="s">
        <v>23</v>
      </c>
      <c r="L5" s="27" t="s">
        <v>22</v>
      </c>
      <c r="M5" s="29" t="n">
        <v>2083.33</v>
      </c>
    </row>
    <row r="6" customFormat="false" ht="15" hidden="false" customHeight="false" outlineLevel="0" collapsed="false">
      <c r="A6" s="24" t="n">
        <v>5</v>
      </c>
      <c r="B6" s="24" t="s">
        <v>51</v>
      </c>
      <c r="C6" s="24" t="s">
        <v>52</v>
      </c>
      <c r="D6" s="24" t="s">
        <v>53</v>
      </c>
      <c r="E6" s="24" t="s">
        <v>50</v>
      </c>
      <c r="F6" s="25" t="n">
        <v>18000</v>
      </c>
      <c r="G6" s="24" t="s">
        <v>37</v>
      </c>
      <c r="H6" s="24" t="s">
        <v>54</v>
      </c>
      <c r="I6" s="24" t="n">
        <v>3</v>
      </c>
      <c r="J6" s="25" t="n">
        <v>54000</v>
      </c>
      <c r="K6" s="24" t="s">
        <v>23</v>
      </c>
      <c r="L6" s="24" t="s">
        <v>22</v>
      </c>
      <c r="M6" s="26" t="n">
        <v>6000</v>
      </c>
    </row>
    <row r="7" customFormat="false" ht="15" hidden="false" customHeight="false" outlineLevel="0" collapsed="false">
      <c r="A7" s="27" t="n">
        <v>6</v>
      </c>
      <c r="B7" s="27" t="s">
        <v>55</v>
      </c>
      <c r="C7" s="27" t="s">
        <v>56</v>
      </c>
      <c r="D7" s="27" t="s">
        <v>57</v>
      </c>
      <c r="E7" s="27" t="s">
        <v>58</v>
      </c>
      <c r="F7" s="28" t="n">
        <v>9800</v>
      </c>
      <c r="G7" s="27" t="s">
        <v>37</v>
      </c>
      <c r="H7" s="27" t="s">
        <v>59</v>
      </c>
      <c r="I7" s="27" t="n">
        <v>10</v>
      </c>
      <c r="J7" s="28" t="n">
        <v>98000</v>
      </c>
      <c r="K7" s="27" t="s">
        <v>19</v>
      </c>
      <c r="L7" s="27" t="s">
        <v>18</v>
      </c>
      <c r="M7" s="29" t="n">
        <v>980</v>
      </c>
    </row>
    <row r="8" customFormat="false" ht="15" hidden="false" customHeight="false" outlineLevel="0" collapsed="false">
      <c r="A8" s="24" t="n">
        <v>7</v>
      </c>
      <c r="B8" s="24" t="s">
        <v>60</v>
      </c>
      <c r="C8" s="24" t="s">
        <v>61</v>
      </c>
      <c r="D8" s="24" t="s">
        <v>62</v>
      </c>
      <c r="E8" s="24" t="s">
        <v>63</v>
      </c>
      <c r="F8" s="25" t="n">
        <v>22000</v>
      </c>
      <c r="G8" s="24" t="s">
        <v>37</v>
      </c>
      <c r="H8" s="24" t="s">
        <v>59</v>
      </c>
      <c r="I8" s="24" t="n">
        <v>5</v>
      </c>
      <c r="J8" s="25" t="n">
        <v>110000</v>
      </c>
      <c r="K8" s="24" t="s">
        <v>19</v>
      </c>
      <c r="L8" s="24" t="s">
        <v>18</v>
      </c>
      <c r="M8" s="26" t="n">
        <v>4400</v>
      </c>
    </row>
    <row r="9" customFormat="false" ht="15" hidden="false" customHeight="false" outlineLevel="0" collapsed="false">
      <c r="A9" s="27" t="n">
        <v>8</v>
      </c>
      <c r="B9" s="27" t="s">
        <v>64</v>
      </c>
      <c r="C9" s="27" t="s">
        <v>17</v>
      </c>
      <c r="D9" s="27" t="s">
        <v>65</v>
      </c>
      <c r="E9" s="27" t="s">
        <v>63</v>
      </c>
      <c r="F9" s="28" t="n">
        <v>45000</v>
      </c>
      <c r="G9" s="27" t="s">
        <v>37</v>
      </c>
      <c r="H9" s="27" t="s">
        <v>66</v>
      </c>
      <c r="I9" s="27" t="n">
        <v>2</v>
      </c>
      <c r="J9" s="28" t="n">
        <v>90000</v>
      </c>
      <c r="K9" s="27" t="s">
        <v>19</v>
      </c>
      <c r="L9" s="27" t="s">
        <v>18</v>
      </c>
      <c r="M9" s="29" t="n">
        <v>22500</v>
      </c>
    </row>
    <row r="10" customFormat="false" ht="15" hidden="false" customHeight="false" outlineLevel="0" collapsed="false">
      <c r="A10" s="24" t="n">
        <v>9</v>
      </c>
      <c r="B10" s="24" t="s">
        <v>67</v>
      </c>
      <c r="C10" s="24" t="s">
        <v>68</v>
      </c>
      <c r="D10" s="24" t="s">
        <v>69</v>
      </c>
      <c r="E10" s="24" t="s">
        <v>70</v>
      </c>
      <c r="F10" s="25" t="n">
        <v>450</v>
      </c>
      <c r="G10" s="24" t="s">
        <v>37</v>
      </c>
      <c r="H10" s="24" t="s">
        <v>71</v>
      </c>
      <c r="I10" s="24" t="n">
        <v>40</v>
      </c>
      <c r="J10" s="25" t="n">
        <v>18000</v>
      </c>
      <c r="K10" s="24" t="s">
        <v>72</v>
      </c>
      <c r="L10" s="24" t="s">
        <v>73</v>
      </c>
      <c r="M10" s="26" t="n">
        <v>11.25</v>
      </c>
    </row>
    <row r="11" customFormat="false" ht="15" hidden="false" customHeight="false" outlineLevel="0" collapsed="false">
      <c r="A11" s="27" t="n">
        <v>10</v>
      </c>
      <c r="B11" s="27" t="s">
        <v>74</v>
      </c>
      <c r="C11" s="27" t="s">
        <v>75</v>
      </c>
      <c r="D11" s="27" t="s">
        <v>76</v>
      </c>
      <c r="E11" s="27" t="s">
        <v>70</v>
      </c>
      <c r="F11" s="28" t="n">
        <v>1100</v>
      </c>
      <c r="G11" s="27" t="s">
        <v>37</v>
      </c>
      <c r="H11" s="27" t="s">
        <v>71</v>
      </c>
      <c r="I11" s="27" t="n">
        <v>25</v>
      </c>
      <c r="J11" s="28" t="n">
        <v>27500</v>
      </c>
      <c r="K11" s="27" t="s">
        <v>72</v>
      </c>
      <c r="L11" s="27" t="s">
        <v>73</v>
      </c>
      <c r="M11" s="29" t="n">
        <v>44</v>
      </c>
    </row>
    <row r="12" customFormat="false" ht="15" hidden="false" customHeight="false" outlineLevel="0" collapsed="false">
      <c r="A12" s="24" t="n">
        <v>11</v>
      </c>
      <c r="B12" s="24" t="s">
        <v>77</v>
      </c>
      <c r="C12" s="24" t="s">
        <v>78</v>
      </c>
      <c r="D12" s="24" t="s">
        <v>79</v>
      </c>
      <c r="E12" s="24" t="s">
        <v>80</v>
      </c>
      <c r="F12" s="25" t="n">
        <v>280</v>
      </c>
      <c r="G12" s="24" t="s">
        <v>37</v>
      </c>
      <c r="H12" s="24" t="s">
        <v>81</v>
      </c>
      <c r="I12" s="24" t="n">
        <v>30</v>
      </c>
      <c r="J12" s="25" t="n">
        <v>8400</v>
      </c>
      <c r="K12" s="24" t="s">
        <v>72</v>
      </c>
      <c r="L12" s="24" t="s">
        <v>73</v>
      </c>
      <c r="M12" s="26" t="n">
        <v>9.33</v>
      </c>
    </row>
    <row r="13" customFormat="false" ht="15" hidden="false" customHeight="false" outlineLevel="0" collapsed="false">
      <c r="A13" s="27" t="n">
        <v>12</v>
      </c>
      <c r="B13" s="27" t="s">
        <v>82</v>
      </c>
      <c r="C13" s="27" t="s">
        <v>83</v>
      </c>
      <c r="D13" s="27" t="s">
        <v>84</v>
      </c>
      <c r="E13" s="27" t="s">
        <v>80</v>
      </c>
      <c r="F13" s="28" t="n">
        <v>620</v>
      </c>
      <c r="G13" s="27" t="s">
        <v>37</v>
      </c>
      <c r="H13" s="27" t="s">
        <v>81</v>
      </c>
      <c r="I13" s="27" t="n">
        <v>18</v>
      </c>
      <c r="J13" s="28" t="n">
        <v>11160</v>
      </c>
      <c r="K13" s="27" t="s">
        <v>72</v>
      </c>
      <c r="L13" s="27" t="s">
        <v>73</v>
      </c>
      <c r="M13" s="29" t="n">
        <v>34.44</v>
      </c>
    </row>
    <row r="14" customFormat="false" ht="15" hidden="false" customHeight="false" outlineLevel="0" collapsed="false">
      <c r="A14" s="24" t="n">
        <v>13</v>
      </c>
      <c r="B14" s="24" t="s">
        <v>85</v>
      </c>
      <c r="C14" s="24" t="s">
        <v>86</v>
      </c>
      <c r="D14" s="24" t="s">
        <v>87</v>
      </c>
      <c r="E14" s="24" t="s">
        <v>88</v>
      </c>
      <c r="F14" s="25" t="n">
        <v>185</v>
      </c>
      <c r="G14" s="24" t="s">
        <v>37</v>
      </c>
      <c r="H14" s="24" t="s">
        <v>89</v>
      </c>
      <c r="I14" s="24" t="n">
        <v>200</v>
      </c>
      <c r="J14" s="25" t="n">
        <v>37000</v>
      </c>
      <c r="K14" s="24" t="s">
        <v>72</v>
      </c>
      <c r="L14" s="24" t="s">
        <v>90</v>
      </c>
      <c r="M14" s="26" t="n">
        <v>0.93</v>
      </c>
    </row>
    <row r="15" customFormat="false" ht="15" hidden="false" customHeight="false" outlineLevel="0" collapsed="false">
      <c r="A15" s="27" t="n">
        <v>14</v>
      </c>
      <c r="B15" s="27" t="s">
        <v>91</v>
      </c>
      <c r="C15" s="27" t="s">
        <v>92</v>
      </c>
      <c r="D15" s="27" t="s">
        <v>93</v>
      </c>
      <c r="E15" s="27" t="s">
        <v>88</v>
      </c>
      <c r="F15" s="28" t="n">
        <v>120</v>
      </c>
      <c r="G15" s="27" t="s">
        <v>37</v>
      </c>
      <c r="H15" s="27" t="s">
        <v>89</v>
      </c>
      <c r="I15" s="27" t="n">
        <v>150</v>
      </c>
      <c r="J15" s="28" t="n">
        <v>18000</v>
      </c>
      <c r="K15" s="27" t="s">
        <v>72</v>
      </c>
      <c r="L15" s="27" t="s">
        <v>90</v>
      </c>
      <c r="M15" s="29" t="n">
        <v>0.8</v>
      </c>
    </row>
    <row r="16" customFormat="false" ht="15" hidden="false" customHeight="false" outlineLevel="0" collapsed="false">
      <c r="A16" s="24" t="n">
        <v>15</v>
      </c>
      <c r="B16" s="24" t="s">
        <v>94</v>
      </c>
      <c r="C16" s="24" t="s">
        <v>20</v>
      </c>
      <c r="D16" s="24" t="s">
        <v>95</v>
      </c>
      <c r="E16" s="24" t="s">
        <v>63</v>
      </c>
      <c r="F16" s="25" t="n">
        <v>38000</v>
      </c>
      <c r="G16" s="24" t="s">
        <v>37</v>
      </c>
      <c r="H16" s="24" t="s">
        <v>66</v>
      </c>
      <c r="I16" s="24" t="n">
        <v>2</v>
      </c>
      <c r="J16" s="25" t="n">
        <v>76000</v>
      </c>
      <c r="K16" s="24" t="s">
        <v>19</v>
      </c>
      <c r="L16" s="24" t="s">
        <v>18</v>
      </c>
      <c r="M16" s="26" t="n">
        <v>19000</v>
      </c>
    </row>
    <row r="17" customFormat="false" ht="15" hidden="false" customHeight="false" outlineLevel="0" collapsed="false">
      <c r="A17" s="27" t="n">
        <v>16</v>
      </c>
      <c r="B17" s="27" t="s">
        <v>96</v>
      </c>
      <c r="C17" s="27" t="s">
        <v>97</v>
      </c>
      <c r="D17" s="27" t="s">
        <v>98</v>
      </c>
      <c r="E17" s="27" t="s">
        <v>99</v>
      </c>
      <c r="F17" s="28" t="n">
        <v>5500</v>
      </c>
      <c r="G17" s="27" t="s">
        <v>37</v>
      </c>
      <c r="H17" s="27" t="s">
        <v>46</v>
      </c>
      <c r="I17" s="27" t="n">
        <v>7</v>
      </c>
      <c r="J17" s="28" t="n">
        <v>38500</v>
      </c>
      <c r="K17" s="27" t="s">
        <v>23</v>
      </c>
      <c r="L17" s="27" t="s">
        <v>22</v>
      </c>
      <c r="M17" s="29" t="n">
        <v>785.71</v>
      </c>
    </row>
    <row r="18" customFormat="false" ht="15" hidden="false" customHeight="false" outlineLevel="0" collapsed="false">
      <c r="A18" s="24" t="n">
        <v>17</v>
      </c>
      <c r="B18" s="24" t="s">
        <v>100</v>
      </c>
      <c r="C18" s="24" t="s">
        <v>101</v>
      </c>
      <c r="D18" s="24" t="s">
        <v>102</v>
      </c>
      <c r="E18" s="24" t="s">
        <v>103</v>
      </c>
      <c r="F18" s="25" t="n">
        <v>3200</v>
      </c>
      <c r="G18" s="24" t="s">
        <v>37</v>
      </c>
      <c r="H18" s="24" t="s">
        <v>104</v>
      </c>
      <c r="I18" s="24" t="n">
        <v>12</v>
      </c>
      <c r="J18" s="25" t="n">
        <v>38400</v>
      </c>
      <c r="K18" s="24" t="s">
        <v>105</v>
      </c>
      <c r="L18" s="24" t="s">
        <v>106</v>
      </c>
      <c r="M18" s="26" t="n">
        <v>266.67</v>
      </c>
    </row>
    <row r="19" customFormat="false" ht="15" hidden="false" customHeight="false" outlineLevel="0" collapsed="false">
      <c r="A19" s="27" t="n">
        <v>18</v>
      </c>
      <c r="B19" s="27" t="s">
        <v>107</v>
      </c>
      <c r="C19" s="27" t="s">
        <v>108</v>
      </c>
      <c r="D19" s="27" t="s">
        <v>109</v>
      </c>
      <c r="E19" s="27" t="s">
        <v>110</v>
      </c>
      <c r="F19" s="28" t="n">
        <v>4800</v>
      </c>
      <c r="G19" s="27" t="s">
        <v>37</v>
      </c>
      <c r="H19" s="27" t="s">
        <v>104</v>
      </c>
      <c r="I19" s="27" t="n">
        <v>8</v>
      </c>
      <c r="J19" s="28" t="n">
        <v>38400</v>
      </c>
      <c r="K19" s="27" t="s">
        <v>105</v>
      </c>
      <c r="L19" s="27" t="s">
        <v>106</v>
      </c>
      <c r="M19" s="29" t="n">
        <v>600</v>
      </c>
    </row>
    <row r="20" customFormat="false" ht="15" hidden="false" customHeight="false" outlineLevel="0" collapsed="false">
      <c r="A20" s="24" t="n">
        <v>19</v>
      </c>
      <c r="B20" s="24" t="s">
        <v>111</v>
      </c>
      <c r="C20" s="24" t="s">
        <v>112</v>
      </c>
      <c r="D20" s="24" t="s">
        <v>113</v>
      </c>
      <c r="E20" s="24" t="s">
        <v>36</v>
      </c>
      <c r="F20" s="25" t="n">
        <v>1450</v>
      </c>
      <c r="G20" s="24" t="s">
        <v>37</v>
      </c>
      <c r="H20" s="24" t="s">
        <v>38</v>
      </c>
      <c r="I20" s="24" t="n">
        <v>12</v>
      </c>
      <c r="J20" s="25" t="n">
        <v>17400</v>
      </c>
      <c r="K20" s="24" t="s">
        <v>23</v>
      </c>
      <c r="L20" s="24" t="s">
        <v>39</v>
      </c>
      <c r="M20" s="26" t="n">
        <v>120.83</v>
      </c>
    </row>
    <row r="21" customFormat="false" ht="15" hidden="false" customHeight="false" outlineLevel="0" collapsed="false">
      <c r="A21" s="27" t="n">
        <v>20</v>
      </c>
      <c r="B21" s="27" t="s">
        <v>114</v>
      </c>
      <c r="C21" s="27" t="s">
        <v>115</v>
      </c>
      <c r="D21" s="27" t="s">
        <v>116</v>
      </c>
      <c r="E21" s="27" t="s">
        <v>36</v>
      </c>
      <c r="F21" s="28" t="n">
        <v>7200</v>
      </c>
      <c r="G21" s="27" t="s">
        <v>37</v>
      </c>
      <c r="H21" s="27" t="s">
        <v>54</v>
      </c>
      <c r="I21" s="27" t="n">
        <v>6</v>
      </c>
      <c r="J21" s="28" t="n">
        <v>43200</v>
      </c>
      <c r="K21" s="27" t="s">
        <v>23</v>
      </c>
      <c r="L21" s="27" t="s">
        <v>22</v>
      </c>
      <c r="M21" s="29" t="n">
        <v>1200</v>
      </c>
    </row>
    <row r="22" customFormat="false" ht="15" hidden="false" customHeight="false" outlineLevel="0" collapsed="false">
      <c r="A22" s="24" t="n">
        <v>21</v>
      </c>
      <c r="B22" s="24" t="s">
        <v>117</v>
      </c>
      <c r="C22" s="24" t="s">
        <v>118</v>
      </c>
      <c r="D22" s="24" t="s">
        <v>119</v>
      </c>
      <c r="E22" s="24" t="s">
        <v>50</v>
      </c>
      <c r="F22" s="25" t="n">
        <v>2800</v>
      </c>
      <c r="G22" s="24" t="s">
        <v>37</v>
      </c>
      <c r="H22" s="24" t="s">
        <v>54</v>
      </c>
      <c r="I22" s="24" t="n">
        <v>9</v>
      </c>
      <c r="J22" s="25" t="n">
        <v>25200</v>
      </c>
      <c r="K22" s="24" t="s">
        <v>23</v>
      </c>
      <c r="L22" s="24" t="s">
        <v>120</v>
      </c>
      <c r="M22" s="26" t="n">
        <v>311.11</v>
      </c>
    </row>
    <row r="23" customFormat="false" ht="15" hidden="false" customHeight="false" outlineLevel="0" collapsed="false">
      <c r="A23" s="27" t="n">
        <v>22</v>
      </c>
      <c r="B23" s="27" t="s">
        <v>121</v>
      </c>
      <c r="C23" s="27" t="s">
        <v>56</v>
      </c>
      <c r="D23" s="27" t="s">
        <v>122</v>
      </c>
      <c r="E23" s="27" t="s">
        <v>58</v>
      </c>
      <c r="F23" s="28" t="n">
        <v>6200</v>
      </c>
      <c r="G23" s="27" t="s">
        <v>37</v>
      </c>
      <c r="H23" s="27" t="s">
        <v>59</v>
      </c>
      <c r="I23" s="27" t="n">
        <v>8</v>
      </c>
      <c r="J23" s="28" t="n">
        <v>49600</v>
      </c>
      <c r="K23" s="27" t="s">
        <v>19</v>
      </c>
      <c r="L23" s="27" t="s">
        <v>18</v>
      </c>
      <c r="M23" s="29" t="n">
        <v>775</v>
      </c>
    </row>
    <row r="24" customFormat="false" ht="15" hidden="false" customHeight="false" outlineLevel="0" collapsed="false">
      <c r="A24" s="24" t="n">
        <v>23</v>
      </c>
      <c r="B24" s="24" t="s">
        <v>123</v>
      </c>
      <c r="C24" s="24" t="s">
        <v>61</v>
      </c>
      <c r="D24" s="24" t="s">
        <v>124</v>
      </c>
      <c r="E24" s="24" t="s">
        <v>125</v>
      </c>
      <c r="F24" s="25" t="n">
        <v>14500</v>
      </c>
      <c r="G24" s="24" t="s">
        <v>37</v>
      </c>
      <c r="H24" s="24" t="s">
        <v>59</v>
      </c>
      <c r="I24" s="24" t="n">
        <v>4</v>
      </c>
      <c r="J24" s="25" t="n">
        <v>58000</v>
      </c>
      <c r="K24" s="24" t="s">
        <v>19</v>
      </c>
      <c r="L24" s="24" t="s">
        <v>18</v>
      </c>
      <c r="M24" s="26" t="n">
        <v>3625</v>
      </c>
    </row>
    <row r="25" customFormat="false" ht="15" hidden="false" customHeight="false" outlineLevel="0" collapsed="false">
      <c r="A25" s="27" t="n">
        <v>24</v>
      </c>
      <c r="B25" s="27" t="s">
        <v>126</v>
      </c>
      <c r="C25" s="27" t="s">
        <v>127</v>
      </c>
      <c r="D25" s="27" t="s">
        <v>128</v>
      </c>
      <c r="E25" s="27" t="s">
        <v>70</v>
      </c>
      <c r="F25" s="28" t="n">
        <v>1800</v>
      </c>
      <c r="G25" s="27" t="s">
        <v>37</v>
      </c>
      <c r="H25" s="27" t="s">
        <v>71</v>
      </c>
      <c r="I25" s="27" t="n">
        <v>20</v>
      </c>
      <c r="J25" s="28" t="n">
        <v>36000</v>
      </c>
      <c r="K25" s="27" t="s">
        <v>72</v>
      </c>
      <c r="L25" s="27" t="s">
        <v>73</v>
      </c>
      <c r="M25" s="29" t="n">
        <v>90</v>
      </c>
    </row>
    <row r="26" customFormat="false" ht="15" hidden="false" customHeight="false" outlineLevel="0" collapsed="false">
      <c r="A26" s="24" t="n">
        <v>25</v>
      </c>
      <c r="B26" s="24" t="s">
        <v>129</v>
      </c>
      <c r="C26" s="24" t="s">
        <v>130</v>
      </c>
      <c r="D26" s="24" t="s">
        <v>131</v>
      </c>
      <c r="E26" s="24" t="s">
        <v>99</v>
      </c>
      <c r="F26" s="25" t="n">
        <v>3200</v>
      </c>
      <c r="G26" s="24" t="s">
        <v>37</v>
      </c>
      <c r="H26" s="24" t="s">
        <v>46</v>
      </c>
      <c r="I26" s="24" t="n">
        <v>10</v>
      </c>
      <c r="J26" s="25" t="n">
        <v>32000</v>
      </c>
      <c r="K26" s="24" t="s">
        <v>23</v>
      </c>
      <c r="L26" s="24" t="s">
        <v>22</v>
      </c>
      <c r="M26" s="26" t="n">
        <v>320</v>
      </c>
    </row>
    <row r="27" customFormat="false" ht="15" hidden="false" customHeight="false" outlineLevel="0" collapsed="false">
      <c r="A27" s="27" t="n">
        <v>26</v>
      </c>
      <c r="B27" s="27" t="s">
        <v>132</v>
      </c>
      <c r="C27" s="27" t="s">
        <v>133</v>
      </c>
      <c r="D27" s="27" t="s">
        <v>134</v>
      </c>
      <c r="E27" s="27" t="s">
        <v>36</v>
      </c>
      <c r="F27" s="28" t="n">
        <v>420</v>
      </c>
      <c r="G27" s="27" t="s">
        <v>37</v>
      </c>
      <c r="H27" s="27" t="s">
        <v>54</v>
      </c>
      <c r="I27" s="27" t="n">
        <v>35</v>
      </c>
      <c r="J27" s="28" t="n">
        <v>14700</v>
      </c>
      <c r="K27" s="27" t="s">
        <v>23</v>
      </c>
      <c r="L27" s="27" t="s">
        <v>22</v>
      </c>
      <c r="M27" s="29" t="n">
        <v>12</v>
      </c>
    </row>
    <row r="28" customFormat="false" ht="15" hidden="false" customHeight="false" outlineLevel="0" collapsed="false">
      <c r="A28" s="24" t="n">
        <v>27</v>
      </c>
      <c r="B28" s="24" t="s">
        <v>135</v>
      </c>
      <c r="C28" s="24" t="s">
        <v>17</v>
      </c>
      <c r="D28" s="24" t="s">
        <v>136</v>
      </c>
      <c r="E28" s="24" t="s">
        <v>58</v>
      </c>
      <c r="F28" s="25" t="n">
        <v>52000</v>
      </c>
      <c r="G28" s="24" t="s">
        <v>37</v>
      </c>
      <c r="H28" s="24" t="s">
        <v>66</v>
      </c>
      <c r="I28" s="24" t="n">
        <v>1</v>
      </c>
      <c r="J28" s="25" t="n">
        <v>52000</v>
      </c>
      <c r="K28" s="24" t="s">
        <v>19</v>
      </c>
      <c r="L28" s="24" t="s">
        <v>18</v>
      </c>
      <c r="M28" s="26" t="n">
        <v>52000</v>
      </c>
    </row>
    <row r="29" customFormat="false" ht="15" hidden="false" customHeight="false" outlineLevel="0" collapsed="false">
      <c r="A29" s="27" t="n">
        <v>28</v>
      </c>
      <c r="B29" s="27" t="s">
        <v>137</v>
      </c>
      <c r="C29" s="27" t="s">
        <v>138</v>
      </c>
      <c r="D29" s="27" t="s">
        <v>139</v>
      </c>
      <c r="E29" s="27" t="s">
        <v>110</v>
      </c>
      <c r="F29" s="28" t="n">
        <v>8900</v>
      </c>
      <c r="G29" s="27" t="s">
        <v>37</v>
      </c>
      <c r="H29" s="27" t="s">
        <v>104</v>
      </c>
      <c r="I29" s="27" t="n">
        <v>3</v>
      </c>
      <c r="J29" s="28" t="n">
        <v>26700</v>
      </c>
      <c r="K29" s="27" t="s">
        <v>105</v>
      </c>
      <c r="L29" s="27" t="s">
        <v>106</v>
      </c>
      <c r="M29" s="29" t="n">
        <v>2966.67</v>
      </c>
    </row>
    <row r="30" customFormat="false" ht="15" hidden="false" customHeight="false" outlineLevel="0" collapsed="false">
      <c r="A30" s="24" t="n">
        <v>29</v>
      </c>
      <c r="B30" s="24" t="s">
        <v>140</v>
      </c>
      <c r="C30" s="24" t="s">
        <v>141</v>
      </c>
      <c r="D30" s="24" t="s">
        <v>142</v>
      </c>
      <c r="E30" s="24" t="s">
        <v>99</v>
      </c>
      <c r="F30" s="25" t="n">
        <v>11000</v>
      </c>
      <c r="G30" s="24" t="s">
        <v>37</v>
      </c>
      <c r="H30" s="24" t="s">
        <v>54</v>
      </c>
      <c r="I30" s="24" t="n">
        <v>5</v>
      </c>
      <c r="J30" s="25" t="n">
        <v>55000</v>
      </c>
      <c r="K30" s="24" t="s">
        <v>23</v>
      </c>
      <c r="L30" s="24" t="s">
        <v>22</v>
      </c>
      <c r="M30" s="26" t="n">
        <v>2200</v>
      </c>
    </row>
    <row r="31" customFormat="false" ht="15" hidden="false" customHeight="false" outlineLevel="0" collapsed="false">
      <c r="A31" s="27" t="n">
        <v>30</v>
      </c>
      <c r="B31" s="27" t="s">
        <v>143</v>
      </c>
      <c r="C31" s="27" t="s">
        <v>144</v>
      </c>
      <c r="D31" s="27" t="s">
        <v>145</v>
      </c>
      <c r="E31" s="27" t="s">
        <v>88</v>
      </c>
      <c r="F31" s="28" t="n">
        <v>650</v>
      </c>
      <c r="G31" s="27" t="s">
        <v>37</v>
      </c>
      <c r="H31" s="27" t="s">
        <v>89</v>
      </c>
      <c r="I31" s="27" t="n">
        <v>60</v>
      </c>
      <c r="J31" s="28" t="n">
        <v>39000</v>
      </c>
      <c r="K31" s="27" t="s">
        <v>72</v>
      </c>
      <c r="L31" s="27" t="s">
        <v>90</v>
      </c>
      <c r="M31" s="29" t="n">
        <v>10.83</v>
      </c>
    </row>
    <row r="32" customFormat="false" ht="15" hidden="false" customHeight="false" outlineLevel="0" collapsed="false">
      <c r="A32" s="24" t="n">
        <v>31</v>
      </c>
      <c r="B32" s="24" t="s">
        <v>146</v>
      </c>
      <c r="C32" s="24" t="s">
        <v>147</v>
      </c>
      <c r="D32" s="24" t="s">
        <v>148</v>
      </c>
      <c r="E32" s="24" t="s">
        <v>149</v>
      </c>
      <c r="F32" s="25" t="n">
        <v>2100</v>
      </c>
      <c r="G32" s="24" t="s">
        <v>37</v>
      </c>
      <c r="H32" s="24" t="s">
        <v>150</v>
      </c>
      <c r="I32" s="24" t="n">
        <v>14</v>
      </c>
      <c r="J32" s="25" t="n">
        <v>29400</v>
      </c>
      <c r="K32" s="24" t="s">
        <v>105</v>
      </c>
      <c r="L32" s="24" t="s">
        <v>120</v>
      </c>
      <c r="M32" s="26" t="n">
        <v>150</v>
      </c>
    </row>
    <row r="33" customFormat="false" ht="15" hidden="false" customHeight="false" outlineLevel="0" collapsed="false">
      <c r="A33" s="27" t="n">
        <v>32</v>
      </c>
      <c r="B33" s="27" t="s">
        <v>151</v>
      </c>
      <c r="C33" s="27" t="s">
        <v>152</v>
      </c>
      <c r="D33" s="27" t="s">
        <v>153</v>
      </c>
      <c r="E33" s="27" t="s">
        <v>149</v>
      </c>
      <c r="F33" s="28" t="n">
        <v>1650</v>
      </c>
      <c r="G33" s="27" t="s">
        <v>37</v>
      </c>
      <c r="H33" s="27" t="s">
        <v>150</v>
      </c>
      <c r="I33" s="27" t="n">
        <v>10</v>
      </c>
      <c r="J33" s="28" t="n">
        <v>16500</v>
      </c>
      <c r="K33" s="27" t="s">
        <v>105</v>
      </c>
      <c r="L33" s="27" t="s">
        <v>106</v>
      </c>
      <c r="M33" s="29" t="n">
        <v>165</v>
      </c>
    </row>
    <row r="34" customFormat="false" ht="15" hidden="false" customHeight="false" outlineLevel="0" collapsed="false">
      <c r="A34" s="24" t="n">
        <v>33</v>
      </c>
      <c r="B34" s="24" t="s">
        <v>154</v>
      </c>
      <c r="C34" s="24" t="s">
        <v>21</v>
      </c>
      <c r="D34" s="24" t="s">
        <v>155</v>
      </c>
      <c r="E34" s="24" t="s">
        <v>50</v>
      </c>
      <c r="F34" s="25" t="n">
        <v>28000</v>
      </c>
      <c r="G34" s="24" t="s">
        <v>37</v>
      </c>
      <c r="H34" s="24" t="s">
        <v>46</v>
      </c>
      <c r="I34" s="24" t="n">
        <v>3</v>
      </c>
      <c r="J34" s="25" t="n">
        <v>84000</v>
      </c>
      <c r="K34" s="24" t="s">
        <v>23</v>
      </c>
      <c r="L34" s="24" t="s">
        <v>22</v>
      </c>
      <c r="M34" s="26" t="n">
        <v>9333.33</v>
      </c>
    </row>
    <row r="35" customFormat="false" ht="15" hidden="false" customHeight="false" outlineLevel="0" collapsed="false">
      <c r="A35" s="27" t="n">
        <v>34</v>
      </c>
      <c r="B35" s="27" t="s">
        <v>156</v>
      </c>
      <c r="C35" s="27" t="s">
        <v>157</v>
      </c>
      <c r="D35" s="27" t="s">
        <v>158</v>
      </c>
      <c r="E35" s="27" t="s">
        <v>103</v>
      </c>
      <c r="F35" s="28" t="n">
        <v>890</v>
      </c>
      <c r="G35" s="27" t="s">
        <v>37</v>
      </c>
      <c r="H35" s="27" t="s">
        <v>104</v>
      </c>
      <c r="I35" s="27" t="n">
        <v>20</v>
      </c>
      <c r="J35" s="28" t="n">
        <v>17800</v>
      </c>
      <c r="K35" s="27" t="s">
        <v>105</v>
      </c>
      <c r="L35" s="27" t="s">
        <v>106</v>
      </c>
      <c r="M35" s="29" t="n">
        <v>44.5</v>
      </c>
    </row>
    <row r="36" customFormat="false" ht="15" hidden="false" customHeight="false" outlineLevel="0" collapsed="false">
      <c r="A36" s="24" t="n">
        <v>35</v>
      </c>
      <c r="B36" s="24" t="s">
        <v>159</v>
      </c>
      <c r="C36" s="24" t="s">
        <v>20</v>
      </c>
      <c r="D36" s="24" t="s">
        <v>160</v>
      </c>
      <c r="E36" s="24" t="s">
        <v>58</v>
      </c>
      <c r="F36" s="25" t="n">
        <v>41000</v>
      </c>
      <c r="G36" s="24" t="s">
        <v>37</v>
      </c>
      <c r="H36" s="24" t="s">
        <v>66</v>
      </c>
      <c r="I36" s="24" t="n">
        <v>2</v>
      </c>
      <c r="J36" s="25" t="n">
        <v>82000</v>
      </c>
      <c r="K36" s="24" t="s">
        <v>19</v>
      </c>
      <c r="L36" s="24" t="s">
        <v>18</v>
      </c>
      <c r="M36" s="26" t="n">
        <v>20500</v>
      </c>
    </row>
  </sheetData>
  <conditionalFormatting sqref="M2:M3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11A"/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4"/>
  </cols>
  <sheetData>
    <row r="1" customFormat="false" ht="26.85" hidden="false" customHeight="false" outlineLevel="0" collapsed="false">
      <c r="A1" s="30" t="s">
        <v>12</v>
      </c>
      <c r="B1" s="30" t="s">
        <v>161</v>
      </c>
      <c r="C1" s="30" t="s">
        <v>31</v>
      </c>
      <c r="E1" s="30" t="s">
        <v>16</v>
      </c>
      <c r="F1" s="30" t="s">
        <v>162</v>
      </c>
    </row>
    <row r="2" customFormat="false" ht="15" hidden="false" customHeight="false" outlineLevel="0" collapsed="false">
      <c r="A2" s="31" t="s">
        <v>22</v>
      </c>
      <c r="B2" s="31" t="n">
        <v>79</v>
      </c>
      <c r="C2" s="32" t="n">
        <v>524400</v>
      </c>
      <c r="E2" s="31" t="s">
        <v>23</v>
      </c>
      <c r="F2" s="32" t="n">
        <v>653000</v>
      </c>
    </row>
    <row r="3" customFormat="false" ht="15" hidden="false" customHeight="false" outlineLevel="0" collapsed="false">
      <c r="A3" s="33" t="s">
        <v>106</v>
      </c>
      <c r="B3" s="33" t="n">
        <v>53</v>
      </c>
      <c r="C3" s="34" t="n">
        <v>137800</v>
      </c>
      <c r="E3" s="33" t="s">
        <v>19</v>
      </c>
      <c r="F3" s="34" t="n">
        <v>615600</v>
      </c>
    </row>
    <row r="4" customFormat="false" ht="15" hidden="false" customHeight="false" outlineLevel="0" collapsed="false">
      <c r="A4" s="31" t="s">
        <v>18</v>
      </c>
      <c r="B4" s="31" t="n">
        <v>34</v>
      </c>
      <c r="C4" s="32" t="n">
        <v>615600</v>
      </c>
      <c r="E4" s="31" t="s">
        <v>72</v>
      </c>
      <c r="F4" s="32" t="n">
        <v>195060</v>
      </c>
    </row>
    <row r="5" customFormat="false" ht="15" hidden="false" customHeight="false" outlineLevel="0" collapsed="false">
      <c r="A5" s="33" t="s">
        <v>90</v>
      </c>
      <c r="B5" s="33" t="n">
        <v>410</v>
      </c>
      <c r="C5" s="34" t="n">
        <v>94000</v>
      </c>
      <c r="E5" s="33" t="s">
        <v>105</v>
      </c>
      <c r="F5" s="34" t="n">
        <v>167200</v>
      </c>
    </row>
    <row r="6" customFormat="false" ht="15" hidden="false" customHeight="false" outlineLevel="0" collapsed="false">
      <c r="A6" s="31" t="s">
        <v>73</v>
      </c>
      <c r="B6" s="31" t="n">
        <v>133</v>
      </c>
      <c r="C6" s="32" t="n">
        <v>101060</v>
      </c>
    </row>
    <row r="7" customFormat="false" ht="15" hidden="false" customHeight="false" outlineLevel="0" collapsed="false">
      <c r="A7" s="33" t="s">
        <v>120</v>
      </c>
      <c r="B7" s="33" t="n">
        <v>23</v>
      </c>
      <c r="C7" s="34" t="n">
        <v>54600</v>
      </c>
    </row>
    <row r="8" customFormat="false" ht="15" hidden="false" customHeight="false" outlineLevel="0" collapsed="false">
      <c r="A8" s="31" t="s">
        <v>39</v>
      </c>
      <c r="B8" s="31" t="n">
        <v>35</v>
      </c>
      <c r="C8" s="32" t="n">
        <v>103400</v>
      </c>
    </row>
    <row r="12" customFormat="false" ht="26.85" hidden="false" customHeight="false" outlineLevel="0" collapsed="false">
      <c r="A12" s="23" t="s">
        <v>11</v>
      </c>
      <c r="B12" s="23" t="s">
        <v>31</v>
      </c>
      <c r="E12" s="23" t="s">
        <v>11</v>
      </c>
      <c r="F12" s="23" t="s">
        <v>15</v>
      </c>
      <c r="G12" s="23" t="s">
        <v>13</v>
      </c>
      <c r="H12" s="23" t="s">
        <v>30</v>
      </c>
    </row>
    <row r="13" customFormat="false" ht="15" hidden="false" customHeight="false" outlineLevel="0" collapsed="false">
      <c r="A13" s="33" t="s">
        <v>21</v>
      </c>
      <c r="B13" s="34" t="n">
        <v>128000</v>
      </c>
      <c r="E13" s="33" t="s">
        <v>17</v>
      </c>
      <c r="F13" s="35" t="n">
        <v>52000</v>
      </c>
      <c r="G13" s="34" t="n">
        <v>52000</v>
      </c>
      <c r="H13" s="33" t="n">
        <v>1</v>
      </c>
    </row>
    <row r="14" customFormat="false" ht="15" hidden="false" customHeight="false" outlineLevel="0" collapsed="false">
      <c r="A14" s="31" t="s">
        <v>61</v>
      </c>
      <c r="B14" s="32" t="n">
        <v>110000</v>
      </c>
      <c r="E14" s="31" t="s">
        <v>17</v>
      </c>
      <c r="F14" s="36" t="n">
        <v>22500</v>
      </c>
      <c r="G14" s="32" t="n">
        <v>45000</v>
      </c>
      <c r="H14" s="31" t="n">
        <v>2</v>
      </c>
    </row>
    <row r="15" customFormat="false" ht="15" hidden="false" customHeight="false" outlineLevel="0" collapsed="false">
      <c r="A15" s="33" t="s">
        <v>56</v>
      </c>
      <c r="B15" s="34" t="n">
        <v>98000</v>
      </c>
      <c r="E15" s="33" t="s">
        <v>20</v>
      </c>
      <c r="F15" s="35" t="n">
        <v>20500</v>
      </c>
      <c r="G15" s="34" t="n">
        <v>41000</v>
      </c>
      <c r="H15" s="33" t="n">
        <v>2</v>
      </c>
    </row>
    <row r="16" customFormat="false" ht="15" hidden="false" customHeight="false" outlineLevel="0" collapsed="false">
      <c r="A16" s="31" t="s">
        <v>17</v>
      </c>
      <c r="B16" s="32" t="n">
        <v>90000</v>
      </c>
      <c r="E16" s="31" t="s">
        <v>20</v>
      </c>
      <c r="F16" s="36" t="n">
        <v>19000</v>
      </c>
      <c r="G16" s="32" t="n">
        <v>38000</v>
      </c>
      <c r="H16" s="31" t="n">
        <v>2</v>
      </c>
    </row>
    <row r="17" customFormat="false" ht="15" hidden="false" customHeight="false" outlineLevel="0" collapsed="false">
      <c r="A17" s="33" t="s">
        <v>21</v>
      </c>
      <c r="B17" s="34" t="n">
        <v>84000</v>
      </c>
      <c r="E17" s="33" t="s">
        <v>21</v>
      </c>
      <c r="F17" s="35" t="n">
        <v>9333.33</v>
      </c>
      <c r="G17" s="34" t="n">
        <v>28000</v>
      </c>
      <c r="H17" s="33" t="n">
        <v>3</v>
      </c>
    </row>
    <row r="18" customFormat="false" ht="15" hidden="false" customHeight="false" outlineLevel="0" collapsed="false">
      <c r="A18" s="31" t="s">
        <v>20</v>
      </c>
      <c r="B18" s="32" t="n">
        <v>82000</v>
      </c>
    </row>
    <row r="19" customFormat="false" ht="15" hidden="false" customHeight="false" outlineLevel="0" collapsed="false">
      <c r="A19" s="33" t="s">
        <v>20</v>
      </c>
      <c r="B19" s="34" t="n">
        <v>76000</v>
      </c>
    </row>
    <row r="20" customFormat="false" ht="15" hidden="false" customHeight="false" outlineLevel="0" collapsed="false">
      <c r="A20" s="31" t="s">
        <v>48</v>
      </c>
      <c r="B20" s="32" t="n">
        <v>75000</v>
      </c>
    </row>
    <row r="21" customFormat="false" ht="15" hidden="false" customHeight="false" outlineLevel="0" collapsed="false">
      <c r="A21" s="33" t="s">
        <v>41</v>
      </c>
      <c r="B21" s="34" t="n">
        <v>68000</v>
      </c>
    </row>
    <row r="22" customFormat="false" ht="15" hidden="false" customHeight="false" outlineLevel="0" collapsed="false">
      <c r="A22" s="31" t="s">
        <v>61</v>
      </c>
      <c r="B22" s="32" t="n">
        <v>58000</v>
      </c>
    </row>
    <row r="25" customFormat="false" ht="26.85" hidden="false" customHeight="false" outlineLevel="0" collapsed="false">
      <c r="A25" s="30" t="s">
        <v>163</v>
      </c>
      <c r="B25" s="30" t="s">
        <v>164</v>
      </c>
    </row>
    <row r="26" customFormat="false" ht="15" hidden="false" customHeight="false" outlineLevel="0" collapsed="false">
      <c r="A26" s="31" t="s">
        <v>63</v>
      </c>
      <c r="B26" s="32" t="n">
        <v>35000</v>
      </c>
    </row>
    <row r="27" customFormat="false" ht="15" hidden="false" customHeight="false" outlineLevel="0" collapsed="false">
      <c r="A27" s="33" t="s">
        <v>58</v>
      </c>
      <c r="B27" s="34" t="n">
        <v>27250</v>
      </c>
    </row>
    <row r="28" customFormat="false" ht="15" hidden="false" customHeight="false" outlineLevel="0" collapsed="false">
      <c r="A28" s="31" t="s">
        <v>50</v>
      </c>
      <c r="B28" s="32" t="n">
        <v>15325</v>
      </c>
    </row>
    <row r="29" customFormat="false" ht="15" hidden="false" customHeight="false" outlineLevel="0" collapsed="false">
      <c r="A29" s="33" t="s">
        <v>125</v>
      </c>
      <c r="B29" s="34" t="n">
        <v>14500</v>
      </c>
    </row>
    <row r="30" customFormat="false" ht="15" hidden="false" customHeight="false" outlineLevel="0" collapsed="false">
      <c r="A30" s="31" t="s">
        <v>43</v>
      </c>
      <c r="B30" s="32" t="n">
        <v>8500</v>
      </c>
    </row>
    <row r="31" customFormat="false" ht="15" hidden="false" customHeight="false" outlineLevel="0" collapsed="false">
      <c r="A31" s="33" t="s">
        <v>36</v>
      </c>
      <c r="B31" s="34" t="n">
        <v>8454</v>
      </c>
    </row>
    <row r="32" customFormat="false" ht="15" hidden="false" customHeight="false" outlineLevel="0" collapsed="false">
      <c r="A32" s="31" t="s">
        <v>110</v>
      </c>
      <c r="B32" s="32" t="n">
        <v>6850</v>
      </c>
    </row>
    <row r="33" customFormat="false" ht="15" hidden="false" customHeight="false" outlineLevel="0" collapsed="false">
      <c r="A33" s="33" t="s">
        <v>99</v>
      </c>
      <c r="B33" s="34" t="n">
        <v>6567</v>
      </c>
    </row>
    <row r="34" customFormat="false" ht="15" hidden="false" customHeight="false" outlineLevel="0" collapsed="false">
      <c r="A34" s="31" t="s">
        <v>103</v>
      </c>
      <c r="B34" s="32" t="n">
        <v>2045</v>
      </c>
    </row>
    <row r="35" customFormat="false" ht="15" hidden="false" customHeight="false" outlineLevel="0" collapsed="false">
      <c r="A35" s="33" t="s">
        <v>149</v>
      </c>
      <c r="B35" s="34" t="n">
        <v>1875</v>
      </c>
    </row>
    <row r="36" customFormat="false" ht="15" hidden="false" customHeight="false" outlineLevel="0" collapsed="false">
      <c r="A36" s="31" t="s">
        <v>70</v>
      </c>
      <c r="B36" s="32" t="n">
        <v>1117</v>
      </c>
    </row>
    <row r="37" customFormat="false" ht="15" hidden="false" customHeight="false" outlineLevel="0" collapsed="false">
      <c r="A37" s="33" t="s">
        <v>80</v>
      </c>
      <c r="B37" s="34" t="n">
        <v>450</v>
      </c>
    </row>
    <row r="38" customFormat="false" ht="15" hidden="false" customHeight="false" outlineLevel="0" collapsed="false">
      <c r="A38" s="31" t="s">
        <v>88</v>
      </c>
      <c r="B38" s="32" t="n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2026-05-11T00:50:43Z</dcterms:created>
  <dc:creator>openpyxl</dc:creator>
  <dc:description/>
  <dc:language>en-US</dc:language>
  <cp:lastModifiedBy/>
  <dcterms:modified xsi:type="dcterms:W3CDTF">2026-05-11T00:50:52Z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